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B9B09172-2FE4-4D4B-9135-74CC0D064F7F}" xr6:coauthVersionLast="47" xr6:coauthVersionMax="47" xr10:uidLastSave="{00000000-0000-0000-0000-000000000000}"/>
  <bookViews>
    <workbookView xWindow="-108" yWindow="-108" windowWidth="23256" windowHeight="12456" tabRatio="895" activeTab="4" xr2:uid="{1B0B4063-D276-4898-B42F-3A9D4B86FB93}"/>
  </bookViews>
  <sheets>
    <sheet name="TỔNG HỢP ĐIỂM" sheetId="1" r:id="rId1"/>
    <sheet name="Điểm thực hành các buổi" sheetId="2" r:id="rId2"/>
    <sheet name="Điểm bài tập lớn" sheetId="3" r:id="rId3"/>
    <sheet name="Điểm lý thuyết" sheetId="4" r:id="rId4"/>
    <sheet name="Các bảng tham chiếu &amp; Thống kê" sheetId="6" r:id="rId5"/>
    <sheet name="Sinh viên điểm &lt;7" sheetId="7" r:id="rId6"/>
    <sheet name="Sinh viên điểm &gt;= 7" sheetId="8" r:id="rId7"/>
  </sheets>
  <definedNames>
    <definedName name="_xlchart.v1.0" hidden="1">'Các bảng tham chiếu &amp; Thống kê'!$E$14:$E$21</definedName>
    <definedName name="_xlchart.v1.1" hidden="1">'Các bảng tham chiếu &amp; Thống kê'!$F$12:$F$13</definedName>
    <definedName name="_xlchart.v1.2" hidden="1">'Các bảng tham chiếu &amp; Thống kê'!$F$14:$F$21</definedName>
    <definedName name="_xlnm.Criteria" localSheetId="5">'Sinh viên điểm &lt;7'!$A$1:$B$2</definedName>
    <definedName name="_xlnm.Extract" localSheetId="5">'Sinh viên điểm &lt;7'!$A$5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4" i="6" l="1"/>
  <c r="K7" i="1"/>
  <c r="K13" i="1"/>
  <c r="K8" i="1"/>
  <c r="K9" i="1"/>
  <c r="K10" i="1"/>
  <c r="K11" i="1"/>
  <c r="K12" i="1"/>
  <c r="A2" i="8" s="1" a="1"/>
  <c r="A2" i="8" s="1"/>
  <c r="K14" i="1"/>
  <c r="K15" i="1"/>
  <c r="K16" i="1"/>
  <c r="K17" i="1"/>
  <c r="K18" i="1"/>
  <c r="K19" i="1"/>
  <c r="K20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7" i="1"/>
  <c r="A2" i="7" l="1" a="1"/>
  <c r="A2" i="7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<sst xmlns="http://schemas.openxmlformats.org/spreadsheetml/2006/main" count="273" uniqueCount="121">
  <si>
    <t xml:space="preserve"> </t>
  </si>
  <si>
    <t>ĐIỂM THI HK1-2018-2019 (CT428)</t>
  </si>
  <si>
    <t>Ma CB</t>
  </si>
  <si>
    <t>Ma MH</t>
  </si>
  <si>
    <t>Nam hoc</t>
  </si>
  <si>
    <t>CT428</t>
  </si>
  <si>
    <t>2020-2021</t>
  </si>
  <si>
    <t>Hoc Ky</t>
  </si>
  <si>
    <t>Ma NH</t>
  </si>
  <si>
    <t>Ho va Ten</t>
  </si>
  <si>
    <t>Nguyen Minh Trung</t>
  </si>
  <si>
    <t>STT</t>
  </si>
  <si>
    <t>S
T
T</t>
  </si>
  <si>
    <t>Mã SV</t>
  </si>
  <si>
    <t xml:space="preserve">Họ và Tên </t>
  </si>
  <si>
    <t>Điểm TH1</t>
  </si>
  <si>
    <t>Điểm TH2</t>
  </si>
  <si>
    <t>Điểm TH3</t>
  </si>
  <si>
    <t xml:space="preserve">Điểm BT lớn </t>
  </si>
  <si>
    <t>Điểm LT</t>
  </si>
  <si>
    <t xml:space="preserve">Điểm Tổng </t>
  </si>
  <si>
    <t>Điểm chữ</t>
  </si>
  <si>
    <t>Điểm theo thang điểm 10</t>
  </si>
  <si>
    <t xml:space="preserve"> Mã SV</t>
  </si>
  <si>
    <t xml:space="preserve"> B1509929</t>
  </si>
  <si>
    <t xml:space="preserve"> Đặng Duy Linh</t>
  </si>
  <si>
    <t xml:space="preserve"> B1605285</t>
  </si>
  <si>
    <t xml:space="preserve"> Huỳnh Thị Diễm</t>
  </si>
  <si>
    <t xml:space="preserve"> B1605291</t>
  </si>
  <si>
    <t xml:space="preserve"> Trần Thanh Nguyên</t>
  </si>
  <si>
    <t xml:space="preserve"> B1605249</t>
  </si>
  <si>
    <t xml:space="preserve"> Lê Minh Thông</t>
  </si>
  <si>
    <t xml:space="preserve"> B1605223</t>
  </si>
  <si>
    <t xml:space="preserve"> Lê Thị Trúc Linh</t>
  </si>
  <si>
    <t xml:space="preserve"> B1505915</t>
  </si>
  <si>
    <t xml:space="preserve"> Lý Minh Trí</t>
  </si>
  <si>
    <t xml:space="preserve"> B1607025</t>
  </si>
  <si>
    <t xml:space="preserve"> Nguyễn Chí Thanh</t>
  </si>
  <si>
    <t xml:space="preserve"> B1609773</t>
  </si>
  <si>
    <t xml:space="preserve"> Nguyễn Duy Khanh</t>
  </si>
  <si>
    <t xml:space="preserve"> B1609759</t>
  </si>
  <si>
    <t xml:space="preserve"> Nguyễn Hải Anh</t>
  </si>
  <si>
    <t xml:space="preserve"> B1509874</t>
  </si>
  <si>
    <t xml:space="preserve"> Nguyễn Kiều Mi</t>
  </si>
  <si>
    <t xml:space="preserve"> B1605344</t>
  </si>
  <si>
    <t xml:space="preserve"> Nguyễn Thị Đào</t>
  </si>
  <si>
    <t xml:space="preserve"> B1505719</t>
  </si>
  <si>
    <t xml:space="preserve"> Nguyễn Văn Hiếu</t>
  </si>
  <si>
    <t xml:space="preserve"> B1605235</t>
  </si>
  <si>
    <t xml:space="preserve"> Phạm Thị Huỳnh</t>
  </si>
  <si>
    <t xml:space="preserve"> B1609765</t>
  </si>
  <si>
    <t xml:space="preserve"> Trần Nam Dương</t>
  </si>
  <si>
    <t xml:space="preserve"> 0B1505719</t>
  </si>
  <si>
    <t xml:space="preserve"> 1B1505915</t>
  </si>
  <si>
    <t xml:space="preserve"> 0B1509874</t>
  </si>
  <si>
    <t xml:space="preserve"> 0B1509929</t>
  </si>
  <si>
    <t xml:space="preserve"> 2B1605223</t>
  </si>
  <si>
    <t xml:space="preserve"> 0B1605235</t>
  </si>
  <si>
    <t xml:space="preserve"> 0B1605249</t>
  </si>
  <si>
    <t xml:space="preserve"> 0B1605285</t>
  </si>
  <si>
    <t xml:space="preserve"> 0B1605291</t>
  </si>
  <si>
    <t xml:space="preserve"> 1B1605344</t>
  </si>
  <si>
    <t xml:space="preserve"> 4B1607025</t>
  </si>
  <si>
    <t xml:space="preserve"> 2B1609759</t>
  </si>
  <si>
    <t xml:space="preserve"> 5B1609765</t>
  </si>
  <si>
    <t xml:space="preserve"> 0B1609773</t>
  </si>
  <si>
    <t>Điểm thực hành các buổi</t>
  </si>
  <si>
    <t>Họ và Tên</t>
  </si>
  <si>
    <t>Điểm TH 1</t>
  </si>
  <si>
    <t>Điểm TH 2</t>
  </si>
  <si>
    <t>Điểm TH 3</t>
  </si>
  <si>
    <t xml:space="preserve"> Họ và tên</t>
  </si>
  <si>
    <t xml:space="preserve"> 0.45</t>
  </si>
  <si>
    <t xml:space="preserve"> 0.25</t>
  </si>
  <si>
    <t xml:space="preserve"> 0.3</t>
  </si>
  <si>
    <t xml:space="preserve"> 0.5</t>
  </si>
  <si>
    <t xml:space="preserve"> 0.35</t>
  </si>
  <si>
    <t xml:space="preserve"> 0.4</t>
  </si>
  <si>
    <t>Điểm bài tập lớn</t>
  </si>
  <si>
    <t xml:space="preserve"> Điểm BT lớn</t>
  </si>
  <si>
    <t xml:space="preserve"> 0.75</t>
  </si>
  <si>
    <t xml:space="preserve"> 1.2</t>
  </si>
  <si>
    <t xml:space="preserve"> 1.5</t>
  </si>
  <si>
    <t xml:space="preserve"> 1.35</t>
  </si>
  <si>
    <t xml:space="preserve"> 0.85</t>
  </si>
  <si>
    <t xml:space="preserve"> Điểm lý thuyết</t>
  </si>
  <si>
    <t>Bảng quy đổi điểm</t>
  </si>
  <si>
    <t>Bảng điểm chuyên cần</t>
  </si>
  <si>
    <t xml:space="preserve"> Điểm chữ</t>
  </si>
  <si>
    <t xml:space="preserve"> Điểm theo thang điểm 4</t>
  </si>
  <si>
    <t xml:space="preserve"> F</t>
  </si>
  <si>
    <t xml:space="preserve"> D</t>
  </si>
  <si>
    <t xml:space="preserve"> D+</t>
  </si>
  <si>
    <t>5.5</t>
  </si>
  <si>
    <t xml:space="preserve"> C</t>
  </si>
  <si>
    <t>6.5</t>
  </si>
  <si>
    <t xml:space="preserve"> C+</t>
  </si>
  <si>
    <t xml:space="preserve"> 2.5</t>
  </si>
  <si>
    <t xml:space="preserve"> B</t>
  </si>
  <si>
    <t xml:space="preserve"> B+</t>
  </si>
  <si>
    <t xml:space="preserve"> 3.5</t>
  </si>
  <si>
    <t xml:space="preserve"> A</t>
  </si>
  <si>
    <t>Số buổi vắng</t>
  </si>
  <si>
    <t xml:space="preserve"> Điểm CT</t>
  </si>
  <si>
    <t>Danh sách Sinh viên</t>
  </si>
  <si>
    <t>Bảng thống kê theo điểm chữ</t>
  </si>
  <si>
    <t>Số lượng sinh viên</t>
  </si>
  <si>
    <t>A</t>
  </si>
  <si>
    <t>B+</t>
  </si>
  <si>
    <t>B</t>
  </si>
  <si>
    <t>C+</t>
  </si>
  <si>
    <t>C</t>
  </si>
  <si>
    <t>D+</t>
  </si>
  <si>
    <t>D</t>
  </si>
  <si>
    <t>F</t>
  </si>
  <si>
    <t>Bảng thống kê SV</t>
  </si>
  <si>
    <t>Số sinh viên điểm BT
lớn = 0 hoặc điểm LT
= -3</t>
  </si>
  <si>
    <t>Số SV nghỉ TH &gt; 2</t>
  </si>
  <si>
    <t>Sinh viên điểm &lt; 7</t>
  </si>
  <si>
    <t>Sinh viên  có điểm &gt;=7</t>
  </si>
  <si>
    <t>Sinh viên có điểm B+ hoặc A( không có)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</si>
</sst>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Aptos Narrow"/>
      <family val="2"/>
      <charset val="163"/>
      <scheme val="minor"/>
    </font>
    <font>
      <b/>
      <sz val="11"/>
      <color theme="1"/>
      <name val="Aptos Narrow"/>
      <family val="2"/>
      <charset val="163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0"/>
      <color theme="1"/>
      <name val="Time s New Roman"/>
      <charset val="163"/>
    </font>
    <font>
      <b/>
      <sz val="11"/>
      <color theme="1"/>
      <name val="Times New Roman"/>
      <family val="1"/>
      <charset val="163"/>
    </font>
    <font>
      <sz val="11"/>
      <color theme="5"/>
      <name val="Aptos Narrow"/>
      <family val="2"/>
      <charset val="163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2"/>
      <color theme="3" tint="9.9978637043366805E-2"/>
      <name val="Times New Roman"/>
      <family val="1"/>
    </font>
    <font>
      <sz val="12"/>
      <color theme="3" tint="9.9978637043366805E-2"/>
      <name val="Times New Roman"/>
      <family val="1"/>
    </font>
    <font>
      <b/>
      <sz val="14"/>
      <color theme="3" tint="9.9978637043366805E-2"/>
      <name val="Times New Roman"/>
      <family val="1"/>
    </font>
    <font>
      <sz val="11"/>
      <color theme="3" tint="9.9978637043366805E-2"/>
      <name val="Aptos Narrow"/>
      <family val="2"/>
      <charset val="163"/>
      <scheme val="minor"/>
    </font>
    <font>
      <b/>
      <sz val="11"/>
      <color theme="3" tint="9.9978637043366805E-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1" xfId="0" applyBorder="1"/>
    <xf numFmtId="0" fontId="5" fillId="0" borderId="1" xfId="0" applyFont="1" applyBorder="1"/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/>
    <xf numFmtId="0" fontId="0" fillId="0" borderId="1" xfId="0" applyBorder="1" applyAlignment="1">
      <alignment horizontal="center"/>
    </xf>
    <xf numFmtId="0" fontId="9" fillId="0" borderId="0" xfId="0" applyFont="1"/>
    <xf numFmtId="0" fontId="2" fillId="0" borderId="0" xfId="0" applyFont="1"/>
    <xf numFmtId="0" fontId="3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/>
    </xf>
    <xf numFmtId="0" fontId="0" fillId="0" borderId="1" xfId="0" applyBorder="1" applyAlignment="1">
      <alignment horizontal="right"/>
    </xf>
    <xf numFmtId="0" fontId="4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10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5" fillId="0" borderId="0" xfId="0" applyFont="1"/>
    <xf numFmtId="0" fontId="12" fillId="6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5" fillId="6" borderId="1" xfId="0" applyFont="1" applyFill="1" applyBorder="1"/>
    <xf numFmtId="0" fontId="3" fillId="0" borderId="1" xfId="0" applyFont="1" applyFill="1" applyBorder="1" applyAlignment="1">
      <alignment vertical="center" wrapText="1"/>
    </xf>
    <xf numFmtId="0" fontId="3" fillId="0" borderId="1" xfId="0" applyFont="1" applyBorder="1"/>
    <xf numFmtId="0" fontId="11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/>
    </xf>
    <xf numFmtId="0" fontId="0" fillId="3" borderId="1" xfId="0" applyNumberFormat="1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/>
              <a:t>Bảng thống kê số lượng sinh viên </a:t>
            </a:r>
            <a:r>
              <a:rPr lang="vi-VN"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</a:rPr>
              <a:t>theo điểm chữ </a:t>
            </a:r>
            <a:endParaRPr lang="vi-V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2.2222222222222223E-2"/>
          <c:y val="0.26481481481481484"/>
          <c:w val="0.93888888888888888"/>
          <c:h val="0.60150408282298051"/>
        </c:manualLayout>
      </c:layout>
      <c:pie3DChart>
        <c:varyColors val="1"/>
        <c:ser>
          <c:idx val="0"/>
          <c:order val="0"/>
          <c:tx>
            <c:strRef>
              <c:f>'Các bảng tham chiếu &amp; Thống kê'!$F$12:$F$13</c:f>
              <c:strCache>
                <c:ptCount val="2"/>
                <c:pt idx="0">
                  <c:v>Bảng thống kê theo điểm chữ</c:v>
                </c:pt>
                <c:pt idx="1">
                  <c:v>Số lượng sinh viên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CE18-4B50-B6B8-206C5EF1676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CE18-4B50-B6B8-206C5EF1676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Lbls>
            <c:dLbl>
              <c:idx val="0"/>
              <c:layout>
                <c:manualLayout>
                  <c:x val="-1.0936132983377078E-6"/>
                  <c:y val="7.6737022455526355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E18-4B50-B6B8-206C5EF16765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E18-4B50-B6B8-206C5EF16765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'Các bảng tham chiếu &amp; Thống kê'!$E$14:$E$21</c:f>
              <c:strCache>
                <c:ptCount val="8"/>
                <c:pt idx="0">
                  <c:v>A</c:v>
                </c:pt>
                <c:pt idx="1">
                  <c:v>B+</c:v>
                </c:pt>
                <c:pt idx="2">
                  <c:v>B</c:v>
                </c:pt>
                <c:pt idx="3">
                  <c:v>C+</c:v>
                </c:pt>
                <c:pt idx="4">
                  <c:v>C</c:v>
                </c:pt>
                <c:pt idx="5">
                  <c:v>D+</c:v>
                </c:pt>
                <c:pt idx="6">
                  <c:v>D</c:v>
                </c:pt>
                <c:pt idx="7">
                  <c:v>F</c:v>
                </c:pt>
              </c:strCache>
            </c:strRef>
          </c:cat>
          <c:val>
            <c:numRef>
              <c:f>'Các bảng tham chiếu &amp; Thống kê'!$F$14:$F$21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18-4B50-B6B8-206C5EF1676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396240</xdr:colOff>
      <xdr:row>4</xdr:row>
      <xdr:rowOff>41910</xdr:rowOff>
    </xdr:from>
    <xdr:to>
      <xdr:col>12</xdr:col>
      <xdr:colOff>1181100</xdr:colOff>
      <xdr:row>17</xdr:row>
      <xdr:rowOff>179070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117673E-5C06-16DD-113A-0355D48B74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049E8-9A85-45F1-9AE1-8D6CE235AD7C}">
  <dimension ref="A1:K21"/>
  <sheetViews>
    <sheetView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K7" sqref="K7:K20"/>
    </sheetView>
  </sheetViews>
  <sheetFormatPr defaultRowHeight="14.4"/>
  <cols>
    <col min="1" max="1" width="4.6640625" customWidth="1"/>
    <col min="2" max="2" width="13" customWidth="1"/>
    <col min="3" max="3" width="18.77734375" customWidth="1"/>
    <col min="4" max="4" width="6.33203125" customWidth="1"/>
    <col min="5" max="5" width="6.44140625" customWidth="1"/>
    <col min="6" max="6" width="6" customWidth="1"/>
    <col min="7" max="7" width="5.33203125" customWidth="1"/>
    <col min="8" max="8" width="5.5546875" customWidth="1"/>
    <col min="9" max="9" width="7.44140625" customWidth="1"/>
    <col min="10" max="10" width="7" customWidth="1"/>
    <col min="11" max="11" width="5.6640625" customWidth="1"/>
  </cols>
  <sheetData>
    <row r="1" spans="1:11" ht="15.6">
      <c r="A1" s="2"/>
      <c r="B1" s="18" t="s">
        <v>1</v>
      </c>
      <c r="C1" s="19"/>
      <c r="D1" s="19"/>
      <c r="E1" s="19"/>
      <c r="F1" s="19"/>
      <c r="G1" s="19"/>
      <c r="H1" s="19"/>
      <c r="I1" s="2"/>
      <c r="J1" s="1"/>
      <c r="K1" s="1"/>
    </row>
    <row r="2" spans="1:11">
      <c r="A2" s="2" t="s">
        <v>0</v>
      </c>
      <c r="B2" s="2" t="s">
        <v>2</v>
      </c>
      <c r="C2" s="3">
        <v>1043</v>
      </c>
      <c r="D2" s="20" t="s">
        <v>9</v>
      </c>
      <c r="E2" s="20"/>
      <c r="F2" s="21" t="s">
        <v>10</v>
      </c>
      <c r="G2" s="21"/>
      <c r="H2" s="21"/>
      <c r="I2" s="21"/>
      <c r="J2" s="1"/>
      <c r="K2" s="1"/>
    </row>
    <row r="3" spans="1:11">
      <c r="A3" s="2"/>
      <c r="B3" s="2" t="s">
        <v>3</v>
      </c>
      <c r="C3" s="2" t="s">
        <v>5</v>
      </c>
      <c r="D3" s="2" t="s">
        <v>8</v>
      </c>
      <c r="E3" s="2"/>
      <c r="F3" s="20">
        <v>8</v>
      </c>
      <c r="G3" s="20"/>
      <c r="H3" s="20"/>
      <c r="I3" s="2"/>
      <c r="J3" s="1"/>
      <c r="K3" s="1"/>
    </row>
    <row r="4" spans="1:11">
      <c r="A4" s="2"/>
      <c r="B4" s="2" t="s">
        <v>4</v>
      </c>
      <c r="C4" s="2" t="s">
        <v>6</v>
      </c>
      <c r="D4" s="2" t="s">
        <v>7</v>
      </c>
      <c r="E4" s="2"/>
      <c r="F4" s="20">
        <v>1</v>
      </c>
      <c r="G4" s="20"/>
      <c r="H4" s="20"/>
      <c r="I4" s="2"/>
      <c r="J4" s="1"/>
      <c r="K4" s="1"/>
    </row>
    <row r="5" spans="1:11">
      <c r="A5" s="8"/>
      <c r="B5" s="8"/>
      <c r="C5" s="8"/>
      <c r="D5" s="8"/>
      <c r="E5" s="8"/>
      <c r="F5" s="8"/>
      <c r="G5" s="8"/>
      <c r="H5" s="8"/>
      <c r="I5" s="8"/>
      <c r="J5" s="8"/>
      <c r="K5" s="8"/>
    </row>
    <row r="6" spans="1:11" ht="76.8" customHeight="1">
      <c r="A6" s="5" t="s">
        <v>12</v>
      </c>
      <c r="B6" s="6" t="s">
        <v>13</v>
      </c>
      <c r="C6" s="7" t="s">
        <v>14</v>
      </c>
      <c r="D6" s="7" t="s">
        <v>15</v>
      </c>
      <c r="E6" s="7" t="s">
        <v>16</v>
      </c>
      <c r="F6" s="7" t="s">
        <v>17</v>
      </c>
      <c r="G6" s="7" t="s">
        <v>18</v>
      </c>
      <c r="H6" s="7" t="s">
        <v>19</v>
      </c>
      <c r="I6" s="7" t="s">
        <v>20</v>
      </c>
      <c r="J6" s="7" t="s">
        <v>22</v>
      </c>
      <c r="K6" s="7" t="s">
        <v>21</v>
      </c>
    </row>
    <row r="7" spans="1:11">
      <c r="A7" s="9">
        <v>1</v>
      </c>
      <c r="B7" s="2" t="s">
        <v>52</v>
      </c>
      <c r="C7" s="2" t="s">
        <v>47</v>
      </c>
      <c r="D7" s="13">
        <v>0.45</v>
      </c>
      <c r="E7" s="13">
        <v>0.25</v>
      </c>
      <c r="F7" s="13">
        <v>0.3</v>
      </c>
      <c r="G7" s="13">
        <v>0.5</v>
      </c>
      <c r="H7" s="13">
        <v>4.2</v>
      </c>
      <c r="I7" s="9">
        <f>ROUND(IF(H7=-3, 0, D7+E7+F7+G7 + (0.6 * H7)), 1)</f>
        <v>4</v>
      </c>
      <c r="J7" s="42">
        <f>ROUND(IF(OR(G7=0, LEFT(B7,1)&gt;"2"), 0, I7 + IF(LEFT(B7,1)="0", 1, IF(LEFT(B7,1)="1", 0.5, 0))), 1)</f>
        <v>4</v>
      </c>
      <c r="K7" s="43" t="str">
        <f>VLOOKUP(J7, 'Các bảng tham chiếu &amp; Thống kê'!$A$3:$B$10, 2, TRUE)</f>
        <v xml:space="preserve"> D</v>
      </c>
    </row>
    <row r="8" spans="1:11">
      <c r="A8" s="9">
        <v>2</v>
      </c>
      <c r="B8" s="2" t="s">
        <v>53</v>
      </c>
      <c r="C8" s="2" t="s">
        <v>35</v>
      </c>
      <c r="D8" s="13">
        <v>0.5</v>
      </c>
      <c r="E8" s="13">
        <v>0.35</v>
      </c>
      <c r="F8" s="13">
        <v>0.4</v>
      </c>
      <c r="G8" s="13">
        <v>1</v>
      </c>
      <c r="H8" s="13">
        <v>5.8</v>
      </c>
      <c r="I8" s="9">
        <f t="shared" ref="I8:I20" si="0">ROUND(IF(H8=-3, 0, D8+E8+F8+G8 + (0.6 * H8)), 1)</f>
        <v>5.7</v>
      </c>
      <c r="J8" s="42">
        <f t="shared" ref="J8:J20" si="1">ROUND(IF(OR(G8=0, LEFT(B8,1)&gt;"2"), 0, I8 + IF(LEFT(B8,1)="0", 1, IF(LEFT(B8,1)="1", 0.5, 0))), 1)</f>
        <v>5.7</v>
      </c>
      <c r="K8" s="43" t="str">
        <f>VLOOKUP(J8, 'Các bảng tham chiếu &amp; Thống kê'!$A$3:$B$10, 2, TRUE)</f>
        <v xml:space="preserve"> D+</v>
      </c>
    </row>
    <row r="9" spans="1:11">
      <c r="A9" s="9">
        <v>3</v>
      </c>
      <c r="B9" s="2" t="s">
        <v>54</v>
      </c>
      <c r="C9" s="2" t="s">
        <v>43</v>
      </c>
      <c r="D9" s="13">
        <v>0.25</v>
      </c>
      <c r="E9" s="13">
        <v>0.25</v>
      </c>
      <c r="F9" s="13">
        <v>0.3</v>
      </c>
      <c r="G9" s="13">
        <v>0.5</v>
      </c>
      <c r="H9" s="13">
        <v>5.8</v>
      </c>
      <c r="I9" s="9">
        <f t="shared" si="0"/>
        <v>4.8</v>
      </c>
      <c r="J9" s="42">
        <f t="shared" si="1"/>
        <v>4.8</v>
      </c>
      <c r="K9" s="43" t="str">
        <f>VLOOKUP(J9, 'Các bảng tham chiếu &amp; Thống kê'!$A$3:$B$10, 2, TRUE)</f>
        <v xml:space="preserve"> D</v>
      </c>
    </row>
    <row r="10" spans="1:11">
      <c r="A10" s="9">
        <v>4</v>
      </c>
      <c r="B10" s="2" t="s">
        <v>55</v>
      </c>
      <c r="C10" s="2" t="s">
        <v>25</v>
      </c>
      <c r="D10" s="13">
        <v>0.4</v>
      </c>
      <c r="E10" s="13">
        <v>0.25</v>
      </c>
      <c r="F10" s="13">
        <v>0.35</v>
      </c>
      <c r="G10" s="13">
        <v>1</v>
      </c>
      <c r="H10" s="13">
        <v>4.5</v>
      </c>
      <c r="I10" s="9">
        <f t="shared" si="0"/>
        <v>4.7</v>
      </c>
      <c r="J10" s="42">
        <f t="shared" si="1"/>
        <v>4.7</v>
      </c>
      <c r="K10" s="43" t="str">
        <f>VLOOKUP(J10, 'Các bảng tham chiếu &amp; Thống kê'!$A$3:$B$10, 2, TRUE)</f>
        <v xml:space="preserve"> D</v>
      </c>
    </row>
    <row r="11" spans="1:11">
      <c r="A11" s="9">
        <v>5</v>
      </c>
      <c r="B11" s="2" t="s">
        <v>56</v>
      </c>
      <c r="C11" s="2" t="s">
        <v>33</v>
      </c>
      <c r="D11" s="13">
        <v>0.45</v>
      </c>
      <c r="E11" s="13">
        <v>0.4</v>
      </c>
      <c r="F11" s="13">
        <v>0.35</v>
      </c>
      <c r="G11" s="13">
        <v>0.75</v>
      </c>
      <c r="H11" s="13">
        <v>5.5</v>
      </c>
      <c r="I11" s="9">
        <f t="shared" si="0"/>
        <v>5.3</v>
      </c>
      <c r="J11" s="42">
        <f t="shared" si="1"/>
        <v>5.3</v>
      </c>
      <c r="K11" s="43" t="str">
        <f>VLOOKUP(J11, 'Các bảng tham chiếu &amp; Thống kê'!$A$3:$B$10, 2, TRUE)</f>
        <v xml:space="preserve"> D+</v>
      </c>
    </row>
    <row r="12" spans="1:11">
      <c r="A12" s="9">
        <v>6</v>
      </c>
      <c r="B12" s="2" t="s">
        <v>57</v>
      </c>
      <c r="C12" s="2" t="s">
        <v>49</v>
      </c>
      <c r="D12" s="13">
        <v>0.4</v>
      </c>
      <c r="E12" s="13">
        <v>0.45</v>
      </c>
      <c r="F12" s="13">
        <v>0.5</v>
      </c>
      <c r="G12" s="13">
        <v>1.2</v>
      </c>
      <c r="H12" s="13">
        <v>7.5</v>
      </c>
      <c r="I12" s="9">
        <f t="shared" si="0"/>
        <v>7.1</v>
      </c>
      <c r="J12" s="42">
        <f t="shared" si="1"/>
        <v>7.1</v>
      </c>
      <c r="K12" s="43" t="str">
        <f>VLOOKUP(J12, 'Các bảng tham chiếu &amp; Thống kê'!$A$3:$B$10, 2, TRUE)</f>
        <v xml:space="preserve"> B</v>
      </c>
    </row>
    <row r="13" spans="1:11">
      <c r="A13" s="9">
        <v>7</v>
      </c>
      <c r="B13" s="2" t="s">
        <v>58</v>
      </c>
      <c r="C13" s="2" t="s">
        <v>31</v>
      </c>
      <c r="D13" s="13">
        <v>0.4</v>
      </c>
      <c r="E13" s="13">
        <v>0.4</v>
      </c>
      <c r="F13" s="13">
        <v>0.4</v>
      </c>
      <c r="G13" s="13">
        <v>1</v>
      </c>
      <c r="H13" s="13">
        <v>5.3</v>
      </c>
      <c r="I13" s="9">
        <f t="shared" si="0"/>
        <v>5.4</v>
      </c>
      <c r="J13" s="42">
        <f t="shared" si="1"/>
        <v>5.4</v>
      </c>
      <c r="K13" s="43" t="str">
        <f>VLOOKUP(J13, 'Các bảng tham chiếu &amp; Thống kê'!$A$3:$B$10, 2, TRUE)</f>
        <v xml:space="preserve"> D+</v>
      </c>
    </row>
    <row r="14" spans="1:11">
      <c r="A14" s="9">
        <v>8</v>
      </c>
      <c r="B14" s="2" t="s">
        <v>59</v>
      </c>
      <c r="C14" s="2" t="s">
        <v>27</v>
      </c>
      <c r="D14" s="13">
        <v>0.45</v>
      </c>
      <c r="E14" s="13">
        <v>0.4</v>
      </c>
      <c r="F14" s="13">
        <v>0.45</v>
      </c>
      <c r="G14" s="13">
        <v>0</v>
      </c>
      <c r="H14" s="13">
        <v>6.8</v>
      </c>
      <c r="I14" s="9">
        <f t="shared" si="0"/>
        <v>5.4</v>
      </c>
      <c r="J14" s="42">
        <f t="shared" si="1"/>
        <v>0</v>
      </c>
      <c r="K14" s="43" t="str">
        <f>VLOOKUP(J14, 'Các bảng tham chiếu &amp; Thống kê'!$A$3:$B$10, 2, TRUE)</f>
        <v xml:space="preserve"> F</v>
      </c>
    </row>
    <row r="15" spans="1:11">
      <c r="A15" s="9">
        <v>9</v>
      </c>
      <c r="B15" s="2" t="s">
        <v>60</v>
      </c>
      <c r="C15" s="2" t="s">
        <v>29</v>
      </c>
      <c r="D15" s="13">
        <v>0.45</v>
      </c>
      <c r="E15" s="13">
        <v>0.4</v>
      </c>
      <c r="F15" s="13">
        <v>0.4</v>
      </c>
      <c r="G15" s="13">
        <v>0.75</v>
      </c>
      <c r="H15" s="13">
        <v>6.3</v>
      </c>
      <c r="I15" s="9">
        <f t="shared" si="0"/>
        <v>5.8</v>
      </c>
      <c r="J15" s="42">
        <f t="shared" si="1"/>
        <v>5.8</v>
      </c>
      <c r="K15" s="43" t="str">
        <f>VLOOKUP(J15, 'Các bảng tham chiếu &amp; Thống kê'!$A$3:$B$10, 2, TRUE)</f>
        <v xml:space="preserve"> D+</v>
      </c>
    </row>
    <row r="16" spans="1:11">
      <c r="A16" s="9">
        <v>10</v>
      </c>
      <c r="B16" s="2" t="s">
        <v>61</v>
      </c>
      <c r="C16" s="2" t="s">
        <v>45</v>
      </c>
      <c r="D16" s="13">
        <v>0.3</v>
      </c>
      <c r="E16" s="13">
        <v>0.5</v>
      </c>
      <c r="F16" s="13">
        <v>0.45</v>
      </c>
      <c r="G16" s="13">
        <v>0.3</v>
      </c>
      <c r="H16" s="13">
        <v>8.3000000000000007</v>
      </c>
      <c r="I16" s="9">
        <f t="shared" si="0"/>
        <v>6.5</v>
      </c>
      <c r="J16" s="42">
        <f t="shared" si="1"/>
        <v>6.5</v>
      </c>
      <c r="K16" s="43" t="str">
        <f>VLOOKUP(J16, 'Các bảng tham chiếu &amp; Thống kê'!$A$3:$B$10, 2, TRUE)</f>
        <v xml:space="preserve"> D+</v>
      </c>
    </row>
    <row r="17" spans="1:11">
      <c r="A17" s="9">
        <v>11</v>
      </c>
      <c r="B17" s="2" t="s">
        <v>62</v>
      </c>
      <c r="C17" s="2" t="s">
        <v>37</v>
      </c>
      <c r="D17" s="13">
        <v>0.4</v>
      </c>
      <c r="E17" s="13">
        <v>0.45</v>
      </c>
      <c r="F17" s="13">
        <v>0.4</v>
      </c>
      <c r="G17" s="13">
        <v>0.3</v>
      </c>
      <c r="H17" s="13">
        <v>-3</v>
      </c>
      <c r="I17" s="9">
        <f t="shared" si="0"/>
        <v>0</v>
      </c>
      <c r="J17" s="42">
        <f t="shared" si="1"/>
        <v>0</v>
      </c>
      <c r="K17" s="43" t="str">
        <f>VLOOKUP(J17, 'Các bảng tham chiếu &amp; Thống kê'!$A$3:$B$10, 2, TRUE)</f>
        <v xml:space="preserve"> F</v>
      </c>
    </row>
    <row r="18" spans="1:11">
      <c r="A18" s="9">
        <v>12</v>
      </c>
      <c r="B18" s="2" t="s">
        <v>63</v>
      </c>
      <c r="C18" s="2" t="s">
        <v>41</v>
      </c>
      <c r="D18" s="13">
        <v>0.5</v>
      </c>
      <c r="E18" s="13">
        <v>0.5</v>
      </c>
      <c r="F18" s="13">
        <v>0.45</v>
      </c>
      <c r="G18" s="13">
        <v>1.5</v>
      </c>
      <c r="H18" s="13">
        <v>7</v>
      </c>
      <c r="I18" s="9">
        <f t="shared" si="0"/>
        <v>7.2</v>
      </c>
      <c r="J18" s="42">
        <f t="shared" si="1"/>
        <v>7.2</v>
      </c>
      <c r="K18" s="43" t="str">
        <f>VLOOKUP(J18, 'Các bảng tham chiếu &amp; Thống kê'!$A$3:$B$10, 2, TRUE)</f>
        <v xml:space="preserve"> B</v>
      </c>
    </row>
    <row r="19" spans="1:11">
      <c r="A19" s="9">
        <v>13</v>
      </c>
      <c r="B19" s="2" t="s">
        <v>64</v>
      </c>
      <c r="C19" s="2" t="s">
        <v>51</v>
      </c>
      <c r="D19" s="13">
        <v>0.4</v>
      </c>
      <c r="E19" s="13">
        <v>0.4</v>
      </c>
      <c r="F19" s="13">
        <v>0.35</v>
      </c>
      <c r="G19" s="13">
        <v>1.35</v>
      </c>
      <c r="H19" s="13">
        <v>-3</v>
      </c>
      <c r="I19" s="9">
        <f t="shared" si="0"/>
        <v>0</v>
      </c>
      <c r="J19" s="42">
        <f t="shared" si="1"/>
        <v>0</v>
      </c>
      <c r="K19" s="43" t="str">
        <f>VLOOKUP(J19, 'Các bảng tham chiếu &amp; Thống kê'!$A$3:$B$10, 2, TRUE)</f>
        <v xml:space="preserve"> F</v>
      </c>
    </row>
    <row r="20" spans="1:11">
      <c r="A20" s="9">
        <v>14</v>
      </c>
      <c r="B20" s="2" t="s">
        <v>65</v>
      </c>
      <c r="C20" s="2" t="s">
        <v>39</v>
      </c>
      <c r="D20" s="13">
        <v>0.35</v>
      </c>
      <c r="E20" s="13">
        <v>0.4</v>
      </c>
      <c r="F20" s="13">
        <v>0</v>
      </c>
      <c r="G20" s="13">
        <v>0.85</v>
      </c>
      <c r="H20" s="13">
        <v>6.5</v>
      </c>
      <c r="I20" s="9">
        <f t="shared" si="0"/>
        <v>5.5</v>
      </c>
      <c r="J20" s="42">
        <f t="shared" si="1"/>
        <v>5.5</v>
      </c>
      <c r="K20" s="43" t="str">
        <f>VLOOKUP(J20, 'Các bảng tham chiếu &amp; Thống kê'!$A$3:$B$10, 2, TRUE)</f>
        <v xml:space="preserve"> D+</v>
      </c>
    </row>
    <row r="21" spans="1:11">
      <c r="J21" s="10"/>
      <c r="K21" s="10"/>
    </row>
  </sheetData>
  <mergeCells count="5">
    <mergeCell ref="B1:H1"/>
    <mergeCell ref="D2:E2"/>
    <mergeCell ref="F2:I2"/>
    <mergeCell ref="F3:H3"/>
    <mergeCell ref="F4:H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5DC83-B6D5-4F80-BE21-6B60ACE72BF9}">
  <dimension ref="A1:F16"/>
  <sheetViews>
    <sheetView zoomScaleNormal="100" workbookViewId="0">
      <selection activeCell="D3" sqref="D3:F16"/>
    </sheetView>
  </sheetViews>
  <sheetFormatPr defaultRowHeight="14.4"/>
  <cols>
    <col min="1" max="1" width="6.88671875" customWidth="1"/>
    <col min="2" max="2" width="11.77734375" customWidth="1"/>
    <col min="3" max="3" width="19.33203125" customWidth="1"/>
    <col min="4" max="4" width="10.77734375" customWidth="1"/>
    <col min="5" max="5" width="11" customWidth="1"/>
    <col min="6" max="6" width="10.88671875" customWidth="1"/>
  </cols>
  <sheetData>
    <row r="1" spans="1:6" ht="24.6" customHeight="1">
      <c r="A1" s="22" t="s">
        <v>66</v>
      </c>
      <c r="B1" s="23"/>
      <c r="C1" s="23"/>
      <c r="D1" s="23"/>
      <c r="E1" s="23"/>
      <c r="F1" s="23"/>
    </row>
    <row r="2" spans="1:6" s="11" customFormat="1">
      <c r="A2" s="12" t="s">
        <v>11</v>
      </c>
      <c r="B2" s="12" t="s">
        <v>13</v>
      </c>
      <c r="C2" s="12" t="s">
        <v>67</v>
      </c>
      <c r="D2" s="12" t="s">
        <v>68</v>
      </c>
      <c r="E2" s="12" t="s">
        <v>69</v>
      </c>
      <c r="F2" s="12" t="s">
        <v>70</v>
      </c>
    </row>
    <row r="3" spans="1:6">
      <c r="A3" s="13">
        <v>1</v>
      </c>
      <c r="B3" s="2" t="s">
        <v>46</v>
      </c>
      <c r="C3" s="2" t="s">
        <v>47</v>
      </c>
      <c r="D3" s="13" t="s">
        <v>72</v>
      </c>
      <c r="E3" s="13" t="s">
        <v>73</v>
      </c>
      <c r="F3" s="13" t="s">
        <v>74</v>
      </c>
    </row>
    <row r="4" spans="1:6">
      <c r="A4" s="13">
        <v>2</v>
      </c>
      <c r="B4" s="2" t="s">
        <v>34</v>
      </c>
      <c r="C4" s="2" t="s">
        <v>35</v>
      </c>
      <c r="D4" s="13" t="s">
        <v>75</v>
      </c>
      <c r="E4" s="13" t="s">
        <v>76</v>
      </c>
      <c r="F4" s="13" t="s">
        <v>77</v>
      </c>
    </row>
    <row r="5" spans="1:6">
      <c r="A5" s="13">
        <v>3</v>
      </c>
      <c r="B5" s="2" t="s">
        <v>42</v>
      </c>
      <c r="C5" s="2" t="s">
        <v>43</v>
      </c>
      <c r="D5" s="13" t="s">
        <v>73</v>
      </c>
      <c r="E5" s="13" t="s">
        <v>73</v>
      </c>
      <c r="F5" s="13" t="s">
        <v>74</v>
      </c>
    </row>
    <row r="6" spans="1:6">
      <c r="A6" s="13">
        <v>4</v>
      </c>
      <c r="B6" s="2" t="s">
        <v>24</v>
      </c>
      <c r="C6" s="2" t="s">
        <v>25</v>
      </c>
      <c r="D6" s="13" t="s">
        <v>77</v>
      </c>
      <c r="E6" s="13" t="s">
        <v>73</v>
      </c>
      <c r="F6" s="13" t="s">
        <v>76</v>
      </c>
    </row>
    <row r="7" spans="1:6">
      <c r="A7" s="13">
        <v>5</v>
      </c>
      <c r="B7" s="2" t="s">
        <v>32</v>
      </c>
      <c r="C7" s="2" t="s">
        <v>33</v>
      </c>
      <c r="D7" s="13" t="s">
        <v>72</v>
      </c>
      <c r="E7" s="13" t="s">
        <v>77</v>
      </c>
      <c r="F7" s="13" t="s">
        <v>76</v>
      </c>
    </row>
    <row r="8" spans="1:6">
      <c r="A8" s="13">
        <v>6</v>
      </c>
      <c r="B8" s="2" t="s">
        <v>48</v>
      </c>
      <c r="C8" s="2" t="s">
        <v>49</v>
      </c>
      <c r="D8" s="13" t="s">
        <v>77</v>
      </c>
      <c r="E8" s="13" t="s">
        <v>72</v>
      </c>
      <c r="F8" s="13" t="s">
        <v>75</v>
      </c>
    </row>
    <row r="9" spans="1:6">
      <c r="A9" s="13">
        <v>7</v>
      </c>
      <c r="B9" s="2" t="s">
        <v>30</v>
      </c>
      <c r="C9" s="2" t="s">
        <v>31</v>
      </c>
      <c r="D9" s="13" t="s">
        <v>77</v>
      </c>
      <c r="E9" s="13" t="s">
        <v>77</v>
      </c>
      <c r="F9" s="13" t="s">
        <v>77</v>
      </c>
    </row>
    <row r="10" spans="1:6">
      <c r="A10" s="13">
        <v>8</v>
      </c>
      <c r="B10" s="2" t="s">
        <v>26</v>
      </c>
      <c r="C10" s="2" t="s">
        <v>27</v>
      </c>
      <c r="D10" s="13" t="s">
        <v>72</v>
      </c>
      <c r="E10" s="13" t="s">
        <v>77</v>
      </c>
      <c r="F10" s="13" t="s">
        <v>72</v>
      </c>
    </row>
    <row r="11" spans="1:6">
      <c r="A11" s="13">
        <v>9</v>
      </c>
      <c r="B11" s="2" t="s">
        <v>28</v>
      </c>
      <c r="C11" s="2" t="s">
        <v>29</v>
      </c>
      <c r="D11" s="13" t="s">
        <v>72</v>
      </c>
      <c r="E11" s="13" t="s">
        <v>77</v>
      </c>
      <c r="F11" s="13" t="s">
        <v>77</v>
      </c>
    </row>
    <row r="12" spans="1:6">
      <c r="A12" s="13">
        <v>10</v>
      </c>
      <c r="B12" s="2" t="s">
        <v>44</v>
      </c>
      <c r="C12" s="2" t="s">
        <v>45</v>
      </c>
      <c r="D12" s="13" t="s">
        <v>74</v>
      </c>
      <c r="E12" s="13" t="s">
        <v>75</v>
      </c>
      <c r="F12" s="13" t="s">
        <v>72</v>
      </c>
    </row>
    <row r="13" spans="1:6">
      <c r="A13" s="13">
        <v>11</v>
      </c>
      <c r="B13" s="2" t="s">
        <v>36</v>
      </c>
      <c r="C13" s="2" t="s">
        <v>37</v>
      </c>
      <c r="D13" s="13" t="s">
        <v>77</v>
      </c>
      <c r="E13" s="13" t="s">
        <v>72</v>
      </c>
      <c r="F13" s="13" t="s">
        <v>77</v>
      </c>
    </row>
    <row r="14" spans="1:6">
      <c r="A14" s="13">
        <v>12</v>
      </c>
      <c r="B14" s="2" t="s">
        <v>40</v>
      </c>
      <c r="C14" s="2" t="s">
        <v>41</v>
      </c>
      <c r="D14" s="13" t="s">
        <v>75</v>
      </c>
      <c r="E14" s="13" t="s">
        <v>75</v>
      </c>
      <c r="F14" s="13" t="s">
        <v>72</v>
      </c>
    </row>
    <row r="15" spans="1:6">
      <c r="A15" s="13">
        <v>13</v>
      </c>
      <c r="B15" s="2" t="s">
        <v>50</v>
      </c>
      <c r="C15" s="2" t="s">
        <v>51</v>
      </c>
      <c r="D15" s="13" t="s">
        <v>77</v>
      </c>
      <c r="E15" s="13" t="s">
        <v>77</v>
      </c>
      <c r="F15" s="13" t="s">
        <v>76</v>
      </c>
    </row>
    <row r="16" spans="1:6">
      <c r="A16" s="13">
        <v>14</v>
      </c>
      <c r="B16" s="2" t="s">
        <v>38</v>
      </c>
      <c r="C16" s="2" t="s">
        <v>39</v>
      </c>
      <c r="D16" s="13" t="s">
        <v>76</v>
      </c>
      <c r="E16" s="13" t="s">
        <v>77</v>
      </c>
      <c r="F16" s="13">
        <v>0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B4259-06AC-4110-BDA6-BA4E37C40CCA}">
  <dimension ref="A1:D16"/>
  <sheetViews>
    <sheetView workbookViewId="0">
      <selection activeCell="D3" sqref="D3:D16"/>
    </sheetView>
  </sheetViews>
  <sheetFormatPr defaultRowHeight="14.4"/>
  <cols>
    <col min="1" max="1" width="7.21875" customWidth="1"/>
    <col min="2" max="2" width="12.33203125" customWidth="1"/>
    <col min="3" max="3" width="19.44140625" customWidth="1"/>
    <col min="4" max="4" width="14.77734375" customWidth="1"/>
  </cols>
  <sheetData>
    <row r="1" spans="1:4" ht="17.399999999999999">
      <c r="A1" s="22" t="s">
        <v>78</v>
      </c>
      <c r="B1" s="22"/>
      <c r="C1" s="22"/>
      <c r="D1" s="22"/>
    </row>
    <row r="2" spans="1:4">
      <c r="A2" s="12" t="s">
        <v>11</v>
      </c>
      <c r="B2" s="12" t="s">
        <v>23</v>
      </c>
      <c r="C2" s="12" t="s">
        <v>71</v>
      </c>
      <c r="D2" s="12" t="s">
        <v>79</v>
      </c>
    </row>
    <row r="3" spans="1:4">
      <c r="A3" s="13">
        <v>1</v>
      </c>
      <c r="B3" s="15" t="s">
        <v>46</v>
      </c>
      <c r="C3" s="2" t="s">
        <v>47</v>
      </c>
      <c r="D3" s="13" t="s">
        <v>75</v>
      </c>
    </row>
    <row r="4" spans="1:4">
      <c r="A4" s="13">
        <v>2</v>
      </c>
      <c r="B4" s="15" t="s">
        <v>34</v>
      </c>
      <c r="C4" s="2" t="s">
        <v>35</v>
      </c>
      <c r="D4" s="13">
        <v>1</v>
      </c>
    </row>
    <row r="5" spans="1:4">
      <c r="A5" s="13">
        <v>3</v>
      </c>
      <c r="B5" s="15" t="s">
        <v>42</v>
      </c>
      <c r="C5" s="2" t="s">
        <v>43</v>
      </c>
      <c r="D5" s="13" t="s">
        <v>75</v>
      </c>
    </row>
    <row r="6" spans="1:4">
      <c r="A6" s="13">
        <v>4</v>
      </c>
      <c r="B6" s="15" t="s">
        <v>24</v>
      </c>
      <c r="C6" s="2" t="s">
        <v>25</v>
      </c>
      <c r="D6" s="13">
        <v>1</v>
      </c>
    </row>
    <row r="7" spans="1:4">
      <c r="A7" s="13">
        <v>5</v>
      </c>
      <c r="B7" s="15" t="s">
        <v>32</v>
      </c>
      <c r="C7" s="2" t="s">
        <v>33</v>
      </c>
      <c r="D7" s="13" t="s">
        <v>80</v>
      </c>
    </row>
    <row r="8" spans="1:4">
      <c r="A8" s="13">
        <v>6</v>
      </c>
      <c r="B8" s="15" t="s">
        <v>48</v>
      </c>
      <c r="C8" s="2" t="s">
        <v>49</v>
      </c>
      <c r="D8" s="13" t="s">
        <v>81</v>
      </c>
    </row>
    <row r="9" spans="1:4">
      <c r="A9" s="13">
        <v>7</v>
      </c>
      <c r="B9" s="15" t="s">
        <v>30</v>
      </c>
      <c r="C9" s="2" t="s">
        <v>31</v>
      </c>
      <c r="D9" s="13">
        <v>1</v>
      </c>
    </row>
    <row r="10" spans="1:4">
      <c r="A10" s="13">
        <v>8</v>
      </c>
      <c r="B10" s="15" t="s">
        <v>26</v>
      </c>
      <c r="C10" s="2" t="s">
        <v>27</v>
      </c>
      <c r="D10" s="13">
        <v>0</v>
      </c>
    </row>
    <row r="11" spans="1:4">
      <c r="A11" s="13">
        <v>9</v>
      </c>
      <c r="B11" s="15" t="s">
        <v>28</v>
      </c>
      <c r="C11" s="2" t="s">
        <v>29</v>
      </c>
      <c r="D11" s="13" t="s">
        <v>80</v>
      </c>
    </row>
    <row r="12" spans="1:4">
      <c r="A12" s="13">
        <v>10</v>
      </c>
      <c r="B12" s="15" t="s">
        <v>44</v>
      </c>
      <c r="C12" s="2" t="s">
        <v>45</v>
      </c>
      <c r="D12" s="13" t="s">
        <v>74</v>
      </c>
    </row>
    <row r="13" spans="1:4">
      <c r="A13" s="13">
        <v>11</v>
      </c>
      <c r="B13" s="15" t="s">
        <v>36</v>
      </c>
      <c r="C13" s="2" t="s">
        <v>37</v>
      </c>
      <c r="D13" s="13" t="s">
        <v>74</v>
      </c>
    </row>
    <row r="14" spans="1:4">
      <c r="A14" s="13">
        <v>12</v>
      </c>
      <c r="B14" s="15" t="s">
        <v>40</v>
      </c>
      <c r="C14" s="2" t="s">
        <v>41</v>
      </c>
      <c r="D14" s="13" t="s">
        <v>82</v>
      </c>
    </row>
    <row r="15" spans="1:4">
      <c r="A15" s="13">
        <v>13</v>
      </c>
      <c r="B15" s="15" t="s">
        <v>50</v>
      </c>
      <c r="C15" s="2" t="s">
        <v>51</v>
      </c>
      <c r="D15" s="13" t="s">
        <v>83</v>
      </c>
    </row>
    <row r="16" spans="1:4">
      <c r="A16" s="13">
        <v>14</v>
      </c>
      <c r="B16" s="15" t="s">
        <v>38</v>
      </c>
      <c r="C16" s="2" t="s">
        <v>39</v>
      </c>
      <c r="D16" s="13" t="s">
        <v>84</v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5209E-F2B0-4232-92B8-528B452723E6}">
  <dimension ref="A1:D16"/>
  <sheetViews>
    <sheetView workbookViewId="0">
      <selection activeCell="D3" sqref="D3:D16"/>
    </sheetView>
  </sheetViews>
  <sheetFormatPr defaultRowHeight="14.4"/>
  <cols>
    <col min="2" max="2" width="11.6640625" customWidth="1"/>
    <col min="3" max="3" width="19" customWidth="1"/>
    <col min="4" max="4" width="16.44140625" customWidth="1"/>
  </cols>
  <sheetData>
    <row r="1" spans="1:4" ht="17.399999999999999">
      <c r="A1" s="24" t="s">
        <v>78</v>
      </c>
      <c r="B1" s="24"/>
      <c r="C1" s="24"/>
      <c r="D1" s="24"/>
    </row>
    <row r="2" spans="1:4">
      <c r="A2" s="14" t="s">
        <v>11</v>
      </c>
      <c r="B2" s="14" t="s">
        <v>23</v>
      </c>
      <c r="C2" s="14" t="s">
        <v>71</v>
      </c>
      <c r="D2" s="14" t="s">
        <v>85</v>
      </c>
    </row>
    <row r="3" spans="1:4">
      <c r="A3" s="13">
        <v>1</v>
      </c>
      <c r="B3" s="15" t="s">
        <v>46</v>
      </c>
      <c r="C3" s="2" t="s">
        <v>47</v>
      </c>
      <c r="D3" s="13">
        <v>4.2</v>
      </c>
    </row>
    <row r="4" spans="1:4">
      <c r="A4" s="13">
        <v>2</v>
      </c>
      <c r="B4" s="15" t="s">
        <v>34</v>
      </c>
      <c r="C4" s="2" t="s">
        <v>35</v>
      </c>
      <c r="D4" s="13">
        <v>5.8</v>
      </c>
    </row>
    <row r="5" spans="1:4">
      <c r="A5" s="13">
        <v>3</v>
      </c>
      <c r="B5" s="15" t="s">
        <v>42</v>
      </c>
      <c r="C5" s="2" t="s">
        <v>43</v>
      </c>
      <c r="D5" s="13">
        <v>5.8</v>
      </c>
    </row>
    <row r="6" spans="1:4">
      <c r="A6" s="13">
        <v>4</v>
      </c>
      <c r="B6" s="15" t="s">
        <v>24</v>
      </c>
      <c r="C6" s="2" t="s">
        <v>25</v>
      </c>
      <c r="D6" s="13">
        <v>4.5</v>
      </c>
    </row>
    <row r="7" spans="1:4">
      <c r="A7" s="13">
        <v>5</v>
      </c>
      <c r="B7" s="15" t="s">
        <v>32</v>
      </c>
      <c r="C7" s="2" t="s">
        <v>33</v>
      </c>
      <c r="D7" s="13">
        <v>5.5</v>
      </c>
    </row>
    <row r="8" spans="1:4">
      <c r="A8" s="13">
        <v>6</v>
      </c>
      <c r="B8" s="15" t="s">
        <v>48</v>
      </c>
      <c r="C8" s="2" t="s">
        <v>49</v>
      </c>
      <c r="D8" s="13">
        <v>7.5</v>
      </c>
    </row>
    <row r="9" spans="1:4">
      <c r="A9" s="13">
        <v>7</v>
      </c>
      <c r="B9" s="15" t="s">
        <v>30</v>
      </c>
      <c r="C9" s="2" t="s">
        <v>31</v>
      </c>
      <c r="D9" s="13">
        <v>5.3</v>
      </c>
    </row>
    <row r="10" spans="1:4">
      <c r="A10" s="13">
        <v>8</v>
      </c>
      <c r="B10" s="15" t="s">
        <v>26</v>
      </c>
      <c r="C10" s="2" t="s">
        <v>27</v>
      </c>
      <c r="D10" s="13">
        <v>6.8</v>
      </c>
    </row>
    <row r="11" spans="1:4">
      <c r="A11" s="13">
        <v>9</v>
      </c>
      <c r="B11" s="15" t="s">
        <v>28</v>
      </c>
      <c r="C11" s="2" t="s">
        <v>29</v>
      </c>
      <c r="D11" s="13">
        <v>6.3</v>
      </c>
    </row>
    <row r="12" spans="1:4">
      <c r="A12" s="13">
        <v>10</v>
      </c>
      <c r="B12" s="15" t="s">
        <v>44</v>
      </c>
      <c r="C12" s="2" t="s">
        <v>45</v>
      </c>
      <c r="D12" s="13">
        <v>8.3000000000000007</v>
      </c>
    </row>
    <row r="13" spans="1:4">
      <c r="A13" s="13">
        <v>11</v>
      </c>
      <c r="B13" s="15" t="s">
        <v>36</v>
      </c>
      <c r="C13" s="2" t="s">
        <v>37</v>
      </c>
      <c r="D13" s="13">
        <v>-3</v>
      </c>
    </row>
    <row r="14" spans="1:4">
      <c r="A14" s="13">
        <v>12</v>
      </c>
      <c r="B14" s="15" t="s">
        <v>40</v>
      </c>
      <c r="C14" s="2" t="s">
        <v>41</v>
      </c>
      <c r="D14" s="13">
        <v>7</v>
      </c>
    </row>
    <row r="15" spans="1:4">
      <c r="A15" s="13">
        <v>13</v>
      </c>
      <c r="B15" s="15" t="s">
        <v>50</v>
      </c>
      <c r="C15" s="2" t="s">
        <v>51</v>
      </c>
      <c r="D15" s="13">
        <v>-3</v>
      </c>
    </row>
    <row r="16" spans="1:4">
      <c r="A16" s="13">
        <v>14</v>
      </c>
      <c r="B16" s="15" t="s">
        <v>38</v>
      </c>
      <c r="C16" s="2" t="s">
        <v>39</v>
      </c>
      <c r="D16" s="13">
        <v>6.5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EF59D-C264-42F7-900D-EA8B9A71A570}">
  <dimension ref="A1:F27"/>
  <sheetViews>
    <sheetView tabSelected="1" topLeftCell="B1" workbookViewId="0">
      <selection activeCell="H4" sqref="H4"/>
    </sheetView>
  </sheetViews>
  <sheetFormatPr defaultRowHeight="14.4"/>
  <cols>
    <col min="1" max="1" width="24.88671875" customWidth="1"/>
    <col min="2" max="2" width="12.6640625" customWidth="1"/>
    <col min="3" max="3" width="24.109375" customWidth="1"/>
    <col min="4" max="4" width="4.44140625" customWidth="1"/>
    <col min="5" max="5" width="19.77734375" customWidth="1"/>
    <col min="6" max="6" width="14.21875" customWidth="1"/>
    <col min="10" max="10" width="13.5546875" customWidth="1"/>
    <col min="11" max="11" width="19.33203125" customWidth="1"/>
    <col min="12" max="12" width="4.5546875" customWidth="1"/>
    <col min="13" max="13" width="19.77734375" customWidth="1"/>
    <col min="14" max="14" width="15.77734375" customWidth="1"/>
  </cols>
  <sheetData>
    <row r="1" spans="1:6" ht="21.6" customHeight="1">
      <c r="A1" s="30" t="s">
        <v>86</v>
      </c>
      <c r="B1" s="30"/>
      <c r="C1" s="30"/>
      <c r="D1" s="31"/>
      <c r="E1" s="30" t="s">
        <v>87</v>
      </c>
      <c r="F1" s="30"/>
    </row>
    <row r="2" spans="1:6" ht="28.8" customHeight="1">
      <c r="A2" s="32" t="s">
        <v>22</v>
      </c>
      <c r="B2" s="32" t="s">
        <v>88</v>
      </c>
      <c r="C2" s="32" t="s">
        <v>89</v>
      </c>
      <c r="D2" s="31"/>
      <c r="E2" s="32" t="s">
        <v>102</v>
      </c>
      <c r="F2" s="32" t="s">
        <v>103</v>
      </c>
    </row>
    <row r="3" spans="1:6">
      <c r="A3" s="16">
        <v>0</v>
      </c>
      <c r="B3" s="16" t="s">
        <v>90</v>
      </c>
      <c r="C3" s="16">
        <v>0</v>
      </c>
      <c r="D3" s="1"/>
      <c r="E3" s="9">
        <v>0</v>
      </c>
      <c r="F3" s="17">
        <v>1</v>
      </c>
    </row>
    <row r="4" spans="1:6">
      <c r="A4" s="16">
        <v>4</v>
      </c>
      <c r="B4" s="16" t="s">
        <v>91</v>
      </c>
      <c r="C4" s="16">
        <v>1</v>
      </c>
      <c r="D4" s="1"/>
      <c r="E4" s="9">
        <v>1</v>
      </c>
      <c r="F4" s="17" t="s">
        <v>75</v>
      </c>
    </row>
    <row r="5" spans="1:6">
      <c r="A5" s="16">
        <v>5</v>
      </c>
      <c r="B5" s="16" t="s">
        <v>92</v>
      </c>
      <c r="C5" s="16" t="s">
        <v>82</v>
      </c>
      <c r="D5" s="1"/>
      <c r="E5" s="9">
        <v>2</v>
      </c>
      <c r="F5" s="17" t="s">
        <v>73</v>
      </c>
    </row>
    <row r="6" spans="1:6">
      <c r="A6" s="16" t="s">
        <v>93</v>
      </c>
      <c r="B6" s="16" t="s">
        <v>94</v>
      </c>
      <c r="C6" s="16">
        <v>2</v>
      </c>
      <c r="D6" s="1"/>
      <c r="E6" s="1"/>
      <c r="F6" s="17"/>
    </row>
    <row r="7" spans="1:6">
      <c r="A7" s="16" t="s">
        <v>95</v>
      </c>
      <c r="B7" s="16" t="s">
        <v>96</v>
      </c>
      <c r="C7" s="16" t="s">
        <v>97</v>
      </c>
      <c r="D7" s="1"/>
      <c r="E7" s="1"/>
      <c r="F7" s="1"/>
    </row>
    <row r="8" spans="1:6">
      <c r="A8" s="16">
        <v>7</v>
      </c>
      <c r="B8" s="16" t="s">
        <v>98</v>
      </c>
      <c r="C8" s="16">
        <v>3</v>
      </c>
      <c r="D8" s="1"/>
      <c r="E8" s="1"/>
      <c r="F8" s="1"/>
    </row>
    <row r="9" spans="1:6">
      <c r="A9" s="16">
        <v>8</v>
      </c>
      <c r="B9" s="16" t="s">
        <v>99</v>
      </c>
      <c r="C9" s="16" t="s">
        <v>100</v>
      </c>
      <c r="D9" s="1"/>
      <c r="E9" s="1"/>
      <c r="F9" s="1"/>
    </row>
    <row r="10" spans="1:6">
      <c r="A10" s="16">
        <v>9</v>
      </c>
      <c r="B10" s="16" t="s">
        <v>101</v>
      </c>
      <c r="C10" s="16">
        <v>4</v>
      </c>
      <c r="D10" s="1"/>
      <c r="E10" s="1"/>
      <c r="F10" s="1"/>
    </row>
    <row r="12" spans="1:6" ht="15.6">
      <c r="A12" s="26" t="s">
        <v>104</v>
      </c>
      <c r="B12" s="26"/>
      <c r="C12" s="26"/>
      <c r="D12" s="27"/>
      <c r="E12" s="26" t="s">
        <v>105</v>
      </c>
      <c r="F12" s="26"/>
    </row>
    <row r="13" spans="1:6" ht="31.2">
      <c r="A13" s="28" t="s">
        <v>11</v>
      </c>
      <c r="B13" s="28" t="s">
        <v>13</v>
      </c>
      <c r="C13" s="28" t="s">
        <v>67</v>
      </c>
      <c r="D13" s="28"/>
      <c r="E13" s="28" t="s">
        <v>21</v>
      </c>
      <c r="F13" s="29" t="s">
        <v>106</v>
      </c>
    </row>
    <row r="14" spans="1:6">
      <c r="A14" s="4">
        <v>1</v>
      </c>
      <c r="B14" s="2" t="s">
        <v>24</v>
      </c>
      <c r="C14" s="2" t="s">
        <v>25</v>
      </c>
      <c r="D14" s="1"/>
      <c r="E14" s="9" t="s">
        <v>107</v>
      </c>
      <c r="F14" s="9">
        <v>0</v>
      </c>
    </row>
    <row r="15" spans="1:6">
      <c r="A15" s="4">
        <v>2</v>
      </c>
      <c r="B15" s="2" t="s">
        <v>26</v>
      </c>
      <c r="C15" s="2" t="s">
        <v>27</v>
      </c>
      <c r="D15" s="1"/>
      <c r="E15" s="9" t="s">
        <v>108</v>
      </c>
      <c r="F15" s="9">
        <v>0</v>
      </c>
    </row>
    <row r="16" spans="1:6">
      <c r="A16" s="4">
        <v>3</v>
      </c>
      <c r="B16" s="2" t="s">
        <v>28</v>
      </c>
      <c r="C16" s="2" t="s">
        <v>29</v>
      </c>
      <c r="D16" s="1"/>
      <c r="E16" s="9" t="s">
        <v>109</v>
      </c>
      <c r="F16" s="9">
        <v>2</v>
      </c>
    </row>
    <row r="17" spans="1:6">
      <c r="A17" s="4">
        <v>4</v>
      </c>
      <c r="B17" s="2" t="s">
        <v>30</v>
      </c>
      <c r="C17" s="2" t="s">
        <v>31</v>
      </c>
      <c r="D17" s="1"/>
      <c r="E17" s="9" t="s">
        <v>110</v>
      </c>
      <c r="F17" s="9">
        <v>0</v>
      </c>
    </row>
    <row r="18" spans="1:6">
      <c r="A18" s="4">
        <v>5</v>
      </c>
      <c r="B18" s="2" t="s">
        <v>32</v>
      </c>
      <c r="C18" s="2" t="s">
        <v>33</v>
      </c>
      <c r="D18" s="1"/>
      <c r="E18" s="9" t="s">
        <v>111</v>
      </c>
      <c r="F18" s="9">
        <v>0</v>
      </c>
    </row>
    <row r="19" spans="1:6">
      <c r="A19" s="4">
        <v>6</v>
      </c>
      <c r="B19" s="2" t="s">
        <v>34</v>
      </c>
      <c r="C19" s="2" t="s">
        <v>35</v>
      </c>
      <c r="D19" s="1"/>
      <c r="E19" s="9" t="s">
        <v>112</v>
      </c>
      <c r="F19" s="9">
        <v>5</v>
      </c>
    </row>
    <row r="20" spans="1:6">
      <c r="A20" s="4">
        <v>7</v>
      </c>
      <c r="B20" s="2" t="s">
        <v>36</v>
      </c>
      <c r="C20" s="2" t="s">
        <v>37</v>
      </c>
      <c r="D20" s="1"/>
      <c r="E20" s="9" t="s">
        <v>113</v>
      </c>
      <c r="F20" s="9">
        <v>1</v>
      </c>
    </row>
    <row r="21" spans="1:6">
      <c r="A21" s="4">
        <v>8</v>
      </c>
      <c r="B21" s="2" t="s">
        <v>38</v>
      </c>
      <c r="C21" s="2" t="s">
        <v>39</v>
      </c>
      <c r="D21" s="1"/>
      <c r="E21" s="9" t="s">
        <v>114</v>
      </c>
      <c r="F21" s="9">
        <v>3</v>
      </c>
    </row>
    <row r="22" spans="1:6">
      <c r="A22" s="4">
        <v>9</v>
      </c>
      <c r="B22" s="2" t="s">
        <v>40</v>
      </c>
      <c r="C22" s="2" t="s">
        <v>41</v>
      </c>
      <c r="D22" s="1"/>
      <c r="E22" s="1"/>
      <c r="F22" s="1"/>
    </row>
    <row r="23" spans="1:6" ht="15.6">
      <c r="A23" s="4">
        <v>10</v>
      </c>
      <c r="B23" s="2" t="s">
        <v>42</v>
      </c>
      <c r="C23" s="2" t="s">
        <v>43</v>
      </c>
      <c r="D23" s="1"/>
      <c r="E23" s="33" t="s">
        <v>115</v>
      </c>
      <c r="F23" s="33"/>
    </row>
    <row r="24" spans="1:6">
      <c r="A24" s="4">
        <v>11</v>
      </c>
      <c r="B24" s="2" t="s">
        <v>44</v>
      </c>
      <c r="C24" s="2" t="s">
        <v>45</v>
      </c>
      <c r="D24" s="1"/>
      <c r="E24" s="34" t="s">
        <v>116</v>
      </c>
      <c r="F24" s="44">
        <f>COUNTIF('TỔNG HỢP ĐIỂM'!$G$7:$G$20, 0) + COUNTIF('TỔNG HỢP ĐIỂM'!$H$7:$H$20, -3)</f>
        <v>3</v>
      </c>
    </row>
    <row r="25" spans="1:6">
      <c r="A25" s="4">
        <v>12</v>
      </c>
      <c r="B25" s="2" t="s">
        <v>46</v>
      </c>
      <c r="C25" s="2" t="s">
        <v>47</v>
      </c>
      <c r="D25" s="1"/>
      <c r="E25" s="35"/>
      <c r="F25" s="44"/>
    </row>
    <row r="26" spans="1:6">
      <c r="A26" s="4">
        <v>13</v>
      </c>
      <c r="B26" s="2" t="s">
        <v>48</v>
      </c>
      <c r="C26" s="2" t="s">
        <v>49</v>
      </c>
      <c r="D26" s="1"/>
      <c r="E26" s="36"/>
      <c r="F26" s="44"/>
    </row>
    <row r="27" spans="1:6">
      <c r="A27" s="4">
        <v>14</v>
      </c>
      <c r="B27" s="2" t="s">
        <v>50</v>
      </c>
      <c r="C27" s="2" t="s">
        <v>51</v>
      </c>
      <c r="D27" s="1"/>
      <c r="E27" s="37" t="s">
        <v>117</v>
      </c>
      <c r="F27" s="13">
        <v>2</v>
      </c>
    </row>
  </sheetData>
  <mergeCells count="7">
    <mergeCell ref="E23:F23"/>
    <mergeCell ref="E24:E26"/>
    <mergeCell ref="F24:F26"/>
    <mergeCell ref="A1:C1"/>
    <mergeCell ref="E1:F1"/>
    <mergeCell ref="A12:C12"/>
    <mergeCell ref="E12:F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0E6FD-FBE2-4FD1-BCFF-C08694929B17}">
  <dimension ref="A1:K13"/>
  <sheetViews>
    <sheetView workbookViewId="0">
      <selection activeCell="H16" sqref="H16"/>
    </sheetView>
  </sheetViews>
  <sheetFormatPr defaultRowHeight="14.4"/>
  <cols>
    <col min="2" max="2" width="12" customWidth="1"/>
    <col min="3" max="3" width="19.33203125" customWidth="1"/>
  </cols>
  <sheetData>
    <row r="1" spans="1:11" ht="25.8" customHeight="1">
      <c r="A1" s="40" t="s">
        <v>118</v>
      </c>
      <c r="B1" s="40"/>
      <c r="C1" s="40"/>
      <c r="D1" s="40"/>
      <c r="E1" s="40"/>
      <c r="F1" s="40"/>
      <c r="G1" s="40"/>
      <c r="H1" s="40"/>
      <c r="I1" s="40"/>
      <c r="J1" s="40"/>
      <c r="K1" s="40"/>
    </row>
    <row r="2" spans="1:11">
      <c r="A2" s="39" cm="1">
        <f t="array" ref="A2:K13">_xlfn._xlws.FILTER('TỔNG HỢP ĐIỂM'!A6:K20, 'TỔNG HỢP ĐIỂM'!J6:J20 &lt; 7)</f>
        <v>1</v>
      </c>
      <c r="B2" s="2" t="str">
        <v xml:space="preserve"> 0B1505719</v>
      </c>
      <c r="C2" s="2" t="str">
        <v xml:space="preserve"> Nguyễn Văn Hiếu</v>
      </c>
      <c r="D2" s="2">
        <v>0.45</v>
      </c>
      <c r="E2" s="2">
        <v>0.25</v>
      </c>
      <c r="F2" s="2">
        <v>0.3</v>
      </c>
      <c r="G2" s="2">
        <v>0.5</v>
      </c>
      <c r="H2" s="2">
        <v>4.2</v>
      </c>
      <c r="I2" s="2">
        <v>4</v>
      </c>
      <c r="J2" s="2">
        <v>4</v>
      </c>
      <c r="K2" s="2" t="str">
        <v xml:space="preserve"> D</v>
      </c>
    </row>
    <row r="3" spans="1:11">
      <c r="A3" s="39">
        <v>2</v>
      </c>
      <c r="B3" s="2" t="str">
        <v xml:space="preserve"> 1B1505915</v>
      </c>
      <c r="C3" s="2" t="str">
        <v xml:space="preserve"> Lý Minh Trí</v>
      </c>
      <c r="D3" s="2">
        <v>0.5</v>
      </c>
      <c r="E3" s="2">
        <v>0.35</v>
      </c>
      <c r="F3" s="2">
        <v>0.4</v>
      </c>
      <c r="G3" s="2">
        <v>1</v>
      </c>
      <c r="H3" s="2">
        <v>5.8</v>
      </c>
      <c r="I3" s="2">
        <v>5.7</v>
      </c>
      <c r="J3" s="2">
        <v>5.7</v>
      </c>
      <c r="K3" s="2" t="str">
        <v xml:space="preserve"> D+</v>
      </c>
    </row>
    <row r="4" spans="1:11">
      <c r="A4" s="39">
        <v>3</v>
      </c>
      <c r="B4" s="2" t="str">
        <v xml:space="preserve"> 0B1509874</v>
      </c>
      <c r="C4" s="2" t="str">
        <v xml:space="preserve"> Nguyễn Kiều Mi</v>
      </c>
      <c r="D4" s="2">
        <v>0.25</v>
      </c>
      <c r="E4" s="2">
        <v>0.25</v>
      </c>
      <c r="F4" s="2">
        <v>0.3</v>
      </c>
      <c r="G4" s="2">
        <v>0.5</v>
      </c>
      <c r="H4" s="2">
        <v>5.8</v>
      </c>
      <c r="I4" s="2">
        <v>4.8</v>
      </c>
      <c r="J4" s="2">
        <v>4.8</v>
      </c>
      <c r="K4" s="2" t="str">
        <v xml:space="preserve"> D</v>
      </c>
    </row>
    <row r="5" spans="1:11">
      <c r="A5" s="38">
        <v>4</v>
      </c>
      <c r="B5" s="2" t="str">
        <v xml:space="preserve"> 0B1509929</v>
      </c>
      <c r="C5" s="2" t="str">
        <v xml:space="preserve"> Đặng Duy Linh</v>
      </c>
      <c r="D5" s="2">
        <v>0.4</v>
      </c>
      <c r="E5" s="2">
        <v>0.25</v>
      </c>
      <c r="F5" s="2">
        <v>0.35</v>
      </c>
      <c r="G5" s="2">
        <v>1</v>
      </c>
      <c r="H5" s="2">
        <v>4.5</v>
      </c>
      <c r="I5" s="2">
        <v>4.7</v>
      </c>
      <c r="J5" s="2">
        <v>4.7</v>
      </c>
      <c r="K5" s="2" t="str">
        <v xml:space="preserve"> D</v>
      </c>
    </row>
    <row r="6" spans="1:11">
      <c r="A6" s="39">
        <v>5</v>
      </c>
      <c r="B6" s="2" t="str">
        <v xml:space="preserve"> 2B1605223</v>
      </c>
      <c r="C6" s="2" t="str">
        <v xml:space="preserve"> Lê Thị Trúc Linh</v>
      </c>
      <c r="D6" s="2">
        <v>0.45</v>
      </c>
      <c r="E6" s="2">
        <v>0.4</v>
      </c>
      <c r="F6" s="2">
        <v>0.35</v>
      </c>
      <c r="G6" s="2">
        <v>0.75</v>
      </c>
      <c r="H6" s="2">
        <v>5.5</v>
      </c>
      <c r="I6" s="2">
        <v>5.3</v>
      </c>
      <c r="J6" s="2">
        <v>5.3</v>
      </c>
      <c r="K6" s="2" t="str">
        <v xml:space="preserve"> D+</v>
      </c>
    </row>
    <row r="7" spans="1:11">
      <c r="A7" s="39">
        <v>7</v>
      </c>
      <c r="B7" s="2" t="str">
        <v xml:space="preserve"> 0B1605249</v>
      </c>
      <c r="C7" s="2" t="str">
        <v xml:space="preserve"> Lê Minh Thông</v>
      </c>
      <c r="D7" s="2">
        <v>0.4</v>
      </c>
      <c r="E7" s="2">
        <v>0.4</v>
      </c>
      <c r="F7" s="2">
        <v>0.4</v>
      </c>
      <c r="G7" s="2">
        <v>1</v>
      </c>
      <c r="H7" s="2">
        <v>5.3</v>
      </c>
      <c r="I7" s="2">
        <v>5.4</v>
      </c>
      <c r="J7" s="2">
        <v>5.4</v>
      </c>
      <c r="K7" s="2" t="str">
        <v xml:space="preserve"> D+</v>
      </c>
    </row>
    <row r="8" spans="1:11">
      <c r="A8" s="39">
        <v>8</v>
      </c>
      <c r="B8" s="2" t="str">
        <v xml:space="preserve"> 0B1605285</v>
      </c>
      <c r="C8" s="2" t="str">
        <v xml:space="preserve"> Huỳnh Thị Diễm</v>
      </c>
      <c r="D8" s="2">
        <v>0.45</v>
      </c>
      <c r="E8" s="2">
        <v>0.4</v>
      </c>
      <c r="F8" s="2">
        <v>0.45</v>
      </c>
      <c r="G8" s="2">
        <v>0</v>
      </c>
      <c r="H8" s="2">
        <v>6.8</v>
      </c>
      <c r="I8" s="2">
        <v>5.4</v>
      </c>
      <c r="J8" s="2">
        <v>0</v>
      </c>
      <c r="K8" s="2" t="str">
        <v xml:space="preserve"> F</v>
      </c>
    </row>
    <row r="9" spans="1:11">
      <c r="A9" s="39">
        <v>9</v>
      </c>
      <c r="B9" s="2" t="str">
        <v xml:space="preserve"> 0B1605291</v>
      </c>
      <c r="C9" s="2" t="str">
        <v xml:space="preserve"> Trần Thanh Nguyên</v>
      </c>
      <c r="D9" s="2">
        <v>0.45</v>
      </c>
      <c r="E9" s="2">
        <v>0.4</v>
      </c>
      <c r="F9" s="2">
        <v>0.4</v>
      </c>
      <c r="G9" s="2">
        <v>0.75</v>
      </c>
      <c r="H9" s="2">
        <v>6.3</v>
      </c>
      <c r="I9" s="2">
        <v>5.8</v>
      </c>
      <c r="J9" s="2">
        <v>5.8</v>
      </c>
      <c r="K9" s="2" t="str">
        <v xml:space="preserve"> D+</v>
      </c>
    </row>
    <row r="10" spans="1:11">
      <c r="A10" s="39">
        <v>10</v>
      </c>
      <c r="B10" s="2" t="str">
        <v xml:space="preserve"> 1B1605344</v>
      </c>
      <c r="C10" s="2" t="str">
        <v xml:space="preserve"> Nguyễn Thị Đào</v>
      </c>
      <c r="D10" s="2">
        <v>0.3</v>
      </c>
      <c r="E10" s="2">
        <v>0.5</v>
      </c>
      <c r="F10" s="2">
        <v>0.45</v>
      </c>
      <c r="G10" s="2">
        <v>0.3</v>
      </c>
      <c r="H10" s="2">
        <v>8.3000000000000007</v>
      </c>
      <c r="I10" s="2">
        <v>6.5</v>
      </c>
      <c r="J10" s="2">
        <v>6.5</v>
      </c>
      <c r="K10" s="2" t="str">
        <v xml:space="preserve"> D+</v>
      </c>
    </row>
    <row r="11" spans="1:11">
      <c r="A11" s="39">
        <v>11</v>
      </c>
      <c r="B11" s="2" t="str">
        <v xml:space="preserve"> 4B1607025</v>
      </c>
      <c r="C11" s="2" t="str">
        <v xml:space="preserve"> Nguyễn Chí Thanh</v>
      </c>
      <c r="D11" s="2">
        <v>0.4</v>
      </c>
      <c r="E11" s="2">
        <v>0.45</v>
      </c>
      <c r="F11" s="2">
        <v>0.4</v>
      </c>
      <c r="G11" s="2">
        <v>0.3</v>
      </c>
      <c r="H11" s="2">
        <v>-3</v>
      </c>
      <c r="I11" s="2">
        <v>0</v>
      </c>
      <c r="J11" s="2">
        <v>0</v>
      </c>
      <c r="K11" s="2" t="str">
        <v xml:space="preserve"> F</v>
      </c>
    </row>
    <row r="12" spans="1:11">
      <c r="A12" s="39">
        <v>13</v>
      </c>
      <c r="B12" s="2" t="str">
        <v xml:space="preserve"> 5B1609765</v>
      </c>
      <c r="C12" s="2" t="str">
        <v xml:space="preserve"> Trần Nam Dương</v>
      </c>
      <c r="D12" s="2">
        <v>0.4</v>
      </c>
      <c r="E12" s="2">
        <v>0.4</v>
      </c>
      <c r="F12" s="2">
        <v>0.35</v>
      </c>
      <c r="G12" s="2">
        <v>1.35</v>
      </c>
      <c r="H12" s="2">
        <v>-3</v>
      </c>
      <c r="I12" s="2">
        <v>0</v>
      </c>
      <c r="J12" s="2">
        <v>0</v>
      </c>
      <c r="K12" s="2" t="str">
        <v xml:space="preserve"> F</v>
      </c>
    </row>
    <row r="13" spans="1:11">
      <c r="A13" s="39">
        <v>14</v>
      </c>
      <c r="B13" s="2" t="str">
        <v xml:space="preserve"> 0B1609773</v>
      </c>
      <c r="C13" s="2" t="str">
        <v xml:space="preserve"> Nguyễn Duy Khanh</v>
      </c>
      <c r="D13" s="2">
        <v>0.35</v>
      </c>
      <c r="E13" s="2">
        <v>0.4</v>
      </c>
      <c r="F13" s="2">
        <v>0</v>
      </c>
      <c r="G13" s="2">
        <v>0.85</v>
      </c>
      <c r="H13" s="2">
        <v>6.5</v>
      </c>
      <c r="I13" s="2">
        <v>5.5</v>
      </c>
      <c r="J13" s="2">
        <v>5.5</v>
      </c>
      <c r="K13" s="2" t="str">
        <v xml:space="preserve"> D+</v>
      </c>
    </row>
  </sheetData>
  <mergeCells count="1">
    <mergeCell ref="A1:K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40798-A556-430E-80B2-568097876452}">
  <dimension ref="A1:K6"/>
  <sheetViews>
    <sheetView workbookViewId="0">
      <selection activeCell="A6" sqref="A6:K6"/>
    </sheetView>
  </sheetViews>
  <sheetFormatPr defaultRowHeight="14.4"/>
  <cols>
    <col min="1" max="1" width="6" customWidth="1"/>
    <col min="2" max="2" width="14.44140625" customWidth="1"/>
    <col min="3" max="3" width="22" customWidth="1"/>
    <col min="4" max="6" width="9.6640625" bestFit="1" customWidth="1"/>
    <col min="7" max="7" width="12.21875" bestFit="1" customWidth="1"/>
    <col min="8" max="8" width="8.44140625" bestFit="1" customWidth="1"/>
    <col min="9" max="9" width="10.6640625" bestFit="1" customWidth="1"/>
    <col min="10" max="10" width="21.5546875" bestFit="1" customWidth="1"/>
  </cols>
  <sheetData>
    <row r="1" spans="1:11" ht="22.2" customHeight="1">
      <c r="A1" s="40" t="s">
        <v>119</v>
      </c>
      <c r="B1" s="40"/>
      <c r="C1" s="40"/>
      <c r="D1" s="40"/>
      <c r="E1" s="40"/>
      <c r="F1" s="40"/>
      <c r="G1" s="40"/>
      <c r="H1" s="40"/>
      <c r="I1" s="40"/>
      <c r="J1" s="40"/>
      <c r="K1" s="40"/>
    </row>
    <row r="2" spans="1:11">
      <c r="A2" s="2" t="str" cm="1">
        <f t="array" ref="A2:K4">_xlfn._xlws.FILTER('TỔNG HỢP ĐIỂM'!A6:K20, 'TỔNG HỢP ĐIỂM'!J6:J20 &gt;= 7)</f>
        <v>S
T
T</v>
      </c>
      <c r="B2" s="2" t="str">
        <v>Mã SV</v>
      </c>
      <c r="C2" s="2" t="str">
        <v xml:space="preserve">Họ và Tên </v>
      </c>
      <c r="D2" s="2" t="str">
        <v>Điểm TH1</v>
      </c>
      <c r="E2" s="2" t="str">
        <v>Điểm TH2</v>
      </c>
      <c r="F2" s="2" t="str">
        <v>Điểm TH3</v>
      </c>
      <c r="G2" s="2" t="str">
        <v xml:space="preserve">Điểm BT lớn </v>
      </c>
      <c r="H2" s="2" t="str">
        <v>Điểm LT</v>
      </c>
      <c r="I2" s="2" t="str">
        <v xml:space="preserve">Điểm Tổng </v>
      </c>
      <c r="J2" s="2" t="str">
        <v>Điểm theo thang điểm 10</v>
      </c>
      <c r="K2" s="2" t="str">
        <v>Điểm chữ</v>
      </c>
    </row>
    <row r="3" spans="1:11">
      <c r="A3" s="2">
        <v>6</v>
      </c>
      <c r="B3" s="2" t="str">
        <v xml:space="preserve"> 0B1605235</v>
      </c>
      <c r="C3" s="2" t="str">
        <v xml:space="preserve"> Phạm Thị Huỳnh</v>
      </c>
      <c r="D3" s="2">
        <v>0.4</v>
      </c>
      <c r="E3" s="2">
        <v>0.45</v>
      </c>
      <c r="F3" s="2">
        <v>0.5</v>
      </c>
      <c r="G3" s="2">
        <v>1.2</v>
      </c>
      <c r="H3" s="2">
        <v>7.5</v>
      </c>
      <c r="I3" s="2">
        <v>7.1</v>
      </c>
      <c r="J3" s="2">
        <v>7.1</v>
      </c>
      <c r="K3" s="2" t="str">
        <v xml:space="preserve"> B</v>
      </c>
    </row>
    <row r="4" spans="1:11">
      <c r="A4" s="2">
        <v>12</v>
      </c>
      <c r="B4" s="2" t="str">
        <v xml:space="preserve"> 2B1609759</v>
      </c>
      <c r="C4" s="2" t="str">
        <v xml:space="preserve"> Nguyễn Hải Anh</v>
      </c>
      <c r="D4" s="2">
        <v>0.5</v>
      </c>
      <c r="E4" s="2">
        <v>0.5</v>
      </c>
      <c r="F4" s="2">
        <v>0.45</v>
      </c>
      <c r="G4" s="2">
        <v>1.5</v>
      </c>
      <c r="H4" s="2">
        <v>7</v>
      </c>
      <c r="I4" s="2">
        <v>7.2</v>
      </c>
      <c r="J4" s="2">
        <v>7.2</v>
      </c>
      <c r="K4" s="2" t="str">
        <v xml:space="preserve"> B</v>
      </c>
    </row>
    <row r="5" spans="1:11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</row>
    <row r="6" spans="1:11" ht="15.6">
      <c r="A6" s="41" t="s">
        <v>120</v>
      </c>
      <c r="B6" s="41"/>
      <c r="C6" s="41"/>
      <c r="D6" s="41"/>
      <c r="E6" s="41"/>
      <c r="F6" s="41"/>
      <c r="G6" s="41"/>
      <c r="H6" s="41"/>
      <c r="I6" s="41"/>
      <c r="J6" s="41"/>
      <c r="K6" s="41"/>
    </row>
  </sheetData>
  <mergeCells count="2">
    <mergeCell ref="A1:K1"/>
    <mergeCell ref="A6:K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TỔNG HỢP ĐIỂM</vt:lpstr>
      <vt:lpstr>Điểm thực hành các buổi</vt:lpstr>
      <vt:lpstr>Điểm bài tập lớn</vt:lpstr>
      <vt:lpstr>Điểm lý thuyết</vt:lpstr>
      <vt:lpstr>Các bảng tham chiếu &amp; Thống kê</vt:lpstr>
      <vt:lpstr>Sinh viên điểm &lt;7</vt:lpstr>
      <vt:lpstr>Sinh viên điểm &gt;= 7</vt:lpstr>
      <vt:lpstr>'Sinh viên điểm &lt;7'!Criteria</vt:lpstr>
      <vt:lpstr>'Sinh viên điểm &lt;7'!Extract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2026-09-20T15:28:21Z</dcterms:created>
  <dcterms:modified xsi:type="dcterms:W3CDTF">2026-09-21T09:09:34Z</dcterms:modified>
</cp:coreProperties>
</file>